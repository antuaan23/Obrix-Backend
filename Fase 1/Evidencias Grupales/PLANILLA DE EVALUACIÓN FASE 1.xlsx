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uoc UC\2026-2\PTY4614 - CAPSTONE\Sección 002D\Fase 1\Godoy-González\"/>
    </mc:Choice>
  </mc:AlternateContent>
  <xr:revisionPtr revIDLastSave="0" documentId="13_ncr:1_{4DE40263-1376-4CB9-97B0-71DC8F250BCE}"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8"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<sst xmlns="http://schemas.openxmlformats.org/spreadsheetml/2006/main" count="156" uniqueCount="97">
  <si>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</si>
  <si>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</si>
  <si>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</si>
  <si>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</si>
  <si>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</si>
  <si>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</si>
  <si>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</si>
  <si>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</si>
  <si>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</si>
  <si>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</si>
  <si>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</si>
  <si>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</si>
  <si>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</si>
  <si>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</si>
  <si>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</si>
  <si>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</si>
  <si>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</si>
  <si>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</si>
  <si>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</si>
  <si>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</si>
  <si>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</si>
  <si>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</si>
  <si>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</si>
  <si>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</si>
  <si>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</si>
  <si>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</si>
  <si>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</si>
  <si>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</si>
  <si>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</si>
  <si>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</si>
  <si>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</si>
  <si>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</si>
  <si>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</si>
  <si>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</si>
  <si>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</si>
  <si>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</si>
  <si>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</si>
  <si>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</si>
  <si>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</si>
  <si>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</si>
  <si>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</si>
  <si>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</si>
  <si>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</si>
  <si>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</si>
  <si>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</si>
  <si>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</si>
  <si>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</si>
  <si>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</si>
  <si>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</si>
  <si>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</si>
  <si>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</si>
  <si>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</si>
  <si>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</si>
  <si>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</si>
  <si>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</si>
  <si>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</si>
  <si>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</si>
  <si>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</si>
  <si>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</si>
  <si>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</si>
  <si>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</si>
  <si>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</si>
  <si>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</si>
  <si>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</si>
  <si>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</si>
  <si>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</si>
  <si>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</si>
  <si>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</si>
  <si>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</si>
  <si>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</si>
  <si>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</si>
  <si>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</si>
  <si>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</si>
  <si>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</si>
  <si>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</si>
  <si>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</si>
  <si>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</si>
  <si>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</si>
  <si>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</si>
  <si>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</si>
  <si>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</si>
  <si>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</si>
  <si>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</si>
  <si>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</si>
  <si>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</si>
  <si>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</si>
  <si>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</si>
  <si>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</si>
  <si>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</si>
  <si>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</si>
  <si>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</si>
  <si>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</si>
  <si>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</si>
  <si>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</si>
  <si>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</si>
  <si>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José Godoy</t>
  </si>
  <si>
    <t>Vicente González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</si>
</sst>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I4" sqref="I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6.1</v>
      </c>
      <c r="D4" s="6">
        <f>$C$35</f>
        <v>6</v>
      </c>
      <c r="E4" s="43">
        <f>C4*C$2+D4*D$2</f>
        <v>6.0749999999999993</v>
      </c>
      <c r="G4" s="1"/>
    </row>
    <row r="5" spans="1:11" x14ac:dyDescent="0.25">
      <c r="A5" s="5">
        <v>2</v>
      </c>
      <c r="B5" s="32" t="s">
        <v>96</v>
      </c>
      <c r="C5" s="6">
        <f>EVALUACION1!$C$24</f>
        <v>6.1</v>
      </c>
      <c r="D5" s="6">
        <f>C47</f>
        <v>6</v>
      </c>
      <c r="E5" s="43">
        <f t="shared" ref="E5:E6" si="0">C5*C$2+D5*D$2</f>
        <v>6.0749999999999993</v>
      </c>
      <c r="G5" s="1"/>
    </row>
    <row r="6" spans="1:11" x14ac:dyDescent="0.25">
      <c r="A6" s="5">
        <v>3</v>
      </c>
      <c r="B6" s="32"/>
      <c r="C6" s="6">
        <f>EVALUACION1!$C$24</f>
        <v>6.1</v>
      </c>
      <c r="D6" s="6">
        <f>C58</f>
        <v>7</v>
      </c>
      <c r="E6" s="43">
        <f t="shared" si="0"/>
        <v>6.3249999999999993</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8</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8</v>
      </c>
      <c r="D22" s="16" t="str">
        <f t="shared" si="12"/>
        <v/>
      </c>
      <c r="E22" s="16" t="str">
        <f>IF(D22="X",100*0.1,"")</f>
        <v/>
      </c>
      <c r="F22" s="16" t="str">
        <f t="shared" si="14"/>
        <v>X</v>
      </c>
      <c r="G22" s="16">
        <f>IF(F22="X",60*0.1,"")</f>
        <v>6</v>
      </c>
      <c r="H22" s="16" t="str">
        <f t="shared" si="16"/>
        <v/>
      </c>
      <c r="I22" s="16" t="str">
        <f>IF(H22="X",30*0.1,"")</f>
        <v/>
      </c>
      <c r="J22" s="16" t="str">
        <f t="shared" si="18"/>
        <v/>
      </c>
      <c r="K22" s="16" t="str">
        <f t="shared" si="19"/>
        <v/>
      </c>
    </row>
    <row r="23" spans="1:11" ht="15.75" customHeight="1" outlineLevel="1" x14ac:dyDescent="0.3">
      <c r="A23" s="62"/>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
      <c r="A24" s="50"/>
      <c r="B24" s="36" t="s">
        <v>12</v>
      </c>
      <c r="C24" s="20">
        <f>VLOOKUP(C23,ESCALA_IEP!A2:B142,2,FALSE)</f>
        <v>6.1</v>
      </c>
    </row>
    <row r="25" spans="1:11" ht="15.75" customHeight="1" x14ac:dyDescent="0.25"/>
    <row r="26" spans="1:11" ht="15.75" customHeight="1" x14ac:dyDescent="0.25"/>
    <row r="27" spans="1:11" ht="15.75" customHeight="1" x14ac:dyDescent="0.25">
      <c r="A27" s="61" t="s">
        <v>13</v>
      </c>
      <c r="B27" s="49" t="s">
        <v>14</v>
      </c>
      <c r="C27" s="51" t="str">
        <f>$B$4</f>
        <v>José Godoy</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8</v>
      </c>
      <c r="D32" s="16" t="str">
        <f t="shared" si="25"/>
        <v/>
      </c>
      <c r="E32" s="16" t="str">
        <f>IF(D32="X",100*0.1,"")</f>
        <v/>
      </c>
      <c r="F32" s="16" t="str">
        <f t="shared" si="26"/>
        <v>X</v>
      </c>
      <c r="G32" s="16">
        <f>IF(F32="X",60*0.1,"")</f>
        <v>6</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Vicente González</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8</v>
      </c>
      <c r="D44" s="16" t="str">
        <f t="shared" si="31"/>
        <v/>
      </c>
      <c r="E44" s="16" t="str">
        <f>IF(D44="X",100*0.1,"")</f>
        <v/>
      </c>
      <c r="F44" s="16" t="str">
        <f t="shared" si="32"/>
        <v>X</v>
      </c>
      <c r="G44" s="16">
        <f>IF(F44="X",60*0.1,"")</f>
        <v>6</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49" t="s">
        <v>14</v>
      </c>
      <c r="C50" s="51">
        <f>B6</f>
        <v>0</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Alumno Plaza Vespucio</cp:lastModifiedBy>
  <cp:revision/>
  <dcterms:created xsi:type="dcterms:W3CDTF">2023-08-07T04:08:01Z</dcterms:created>
  <dcterms:modified xsi:type="dcterms:W3CDTF">2026-09-08T13:35:02Z</dcterms:modified>
  <cp:category/>
  <cp:contentStatus/>
</cp:coreProperties>
</file>